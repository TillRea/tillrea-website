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ta" sheetId="2" state="visible" r:id="rId2"/>
    <sheet xmlns:r="http://schemas.openxmlformats.org/officeDocument/2006/relationships" name="Peramalan" sheetId="3" state="visible" r:id="rId3"/>
    <sheet xmlns:r="http://schemas.openxmlformats.org/officeDocument/2006/relationships" name="Perbandingan" sheetId="4" state="visible" r:id="rId4"/>
    <sheet xmlns:r="http://schemas.openxmlformats.org/officeDocument/2006/relationships" name="Persediaan"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
  </numFmts>
  <fonts count="8">
    <font>
      <name val="Calibri"/>
      <family val="2"/>
      <color theme="1"/>
      <sz val="11"/>
      <scheme val="minor"/>
    </font>
    <font>
      <b val="1"/>
      <color rgb="001F4E79"/>
      <sz val="14"/>
    </font>
    <font>
      <i val="1"/>
      <color rgb="00595959"/>
      <sz val="10"/>
    </font>
    <font>
      <b val="1"/>
      <sz val="11"/>
    </font>
    <font>
      <sz val="11"/>
    </font>
    <font>
      <color rgb="00595959"/>
      <sz val="10"/>
    </font>
    <font>
      <b val="1"/>
      <color rgb="00FFFFFF"/>
      <sz val="11"/>
    </font>
    <font>
      <i val="1"/>
      <sz val="11"/>
    </font>
  </fonts>
  <fills count="5">
    <fill>
      <patternFill/>
    </fill>
    <fill>
      <patternFill patternType="gray125"/>
    </fill>
    <fill>
      <patternFill patternType="solid">
        <fgColor rgb="00FFF2CC"/>
      </patternFill>
    </fill>
    <fill>
      <patternFill patternType="solid">
        <fgColor rgb="00E2EFDA"/>
      </patternFill>
    </fill>
    <fill>
      <patternFill patternType="solid">
        <fgColor rgb="001F4E7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2" fontId="4" fillId="2" borderId="1" pivotButton="0" quotePrefix="0" xfId="0"/>
    <xf numFmtId="0" fontId="5" fillId="0" borderId="0" pivotButton="0" quotePrefix="0" xfId="0"/>
    <xf numFmtId="0" fontId="4" fillId="0" borderId="1" pivotButton="0" quotePrefix="0" xfId="0"/>
    <xf numFmtId="3" fontId="4" fillId="2" borderId="1" pivotButton="0" quotePrefix="0" xfId="0"/>
    <xf numFmtId="1" fontId="4" fillId="2" borderId="1" pivotButton="0" quotePrefix="0" xfId="0"/>
    <xf numFmtId="9" fontId="4" fillId="2" borderId="1" pivotButton="0" quotePrefix="0" xfId="0"/>
    <xf numFmtId="164" fontId="4" fillId="0" borderId="1" pivotButton="0" quotePrefix="0" xfId="0"/>
    <xf numFmtId="0" fontId="3" fillId="3" borderId="1" pivotButton="0" quotePrefix="0" xfId="0"/>
    <xf numFmtId="10" fontId="3" fillId="3" borderId="1" pivotButton="0" quotePrefix="0" xfId="0"/>
    <xf numFmtId="2" fontId="3" fillId="3" borderId="1" pivotButton="0" quotePrefix="0" xfId="0"/>
    <xf numFmtId="1" fontId="3" fillId="3" borderId="1" pivotButton="0" quotePrefix="0" xfId="0"/>
    <xf numFmtId="0" fontId="6" fillId="4" borderId="1" applyAlignment="1" pivotButton="0" quotePrefix="0" xfId="0">
      <alignment horizontal="center" vertical="center" wrapText="1"/>
    </xf>
    <xf numFmtId="1" fontId="4" fillId="0" borderId="1" pivotButton="0" quotePrefix="0" xfId="0"/>
    <xf numFmtId="165" fontId="4" fillId="0" borderId="1" pivotButton="0" quotePrefix="0" xfId="0"/>
    <xf numFmtId="2" fontId="3" fillId="0" borderId="1" pivotButton="0" quotePrefix="0" xfId="0"/>
    <xf numFmtId="1" fontId="3" fillId="0" borderId="1" pivotButton="0" quotePrefix="0" xfId="0"/>
    <xf numFmtId="2" fontId="4" fillId="0" borderId="1" pivotButton="0" quotePrefix="0" xfId="0"/>
    <xf numFmtId="0" fontId="7" fillId="3" borderId="1" pivotButton="0" quotePrefix="0" xfId="0"/>
    <xf numFmtId="0" fontId="0" fillId="3" borderId="1" pivotButton="0" quotePrefix="0" xfId="0"/>
    <xf numFmtId="10" fontId="4" fillId="0" borderId="1" pivotButton="0" quotePrefix="0" xfId="0"/>
    <xf numFmtId="164" fontId="3" fillId="0" borderId="1" pivotButton="0" quotePrefix="0" xfId="0"/>
    <xf numFmtId="2" fontId="0" fillId="0" borderId="0" pivotButton="0" quotePrefix="0" xfId="0"/>
    <xf numFmtId="10" fontId="0" fillId="0" borderId="0" pivotButton="0" quotePrefix="0" xfId="0"/>
    <xf numFmtId="3" fontId="4" fillId="0" borderId="1" pivotButton="0" quotePrefix="0" xfId="0"/>
    <xf numFmtId="0" fontId="3" fillId="0" borderId="1"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1:D29"/>
  <sheetViews>
    <sheetView workbookViewId="0">
      <selection activeCell="A1" sqref="A1"/>
    </sheetView>
  </sheetViews>
  <sheetFormatPr baseColWidth="8" defaultRowHeight="15"/>
  <cols>
    <col width="3" customWidth="1" min="1" max="1"/>
    <col width="42" customWidth="1" min="2" max="2"/>
    <col width="22" customWidth="1" min="3" max="3"/>
    <col width="70" customWidth="1" min="4" max="4"/>
  </cols>
  <sheetData>
    <row r="1">
      <c r="B1" s="1" t="inlineStr">
        <is>
          <t>PERAMALAN PERMINTAAN &amp; KEBUTUHAN PERSEDIAAN</t>
        </is>
      </c>
    </row>
    <row r="2">
      <c r="B2" s="2" t="inlineStr">
        <is>
          <t>SI Manajemen Rantai Pasok (24SIF502) — Penugasan Kelompok | Semua hasil memakai rumus dasar Excel</t>
        </is>
      </c>
    </row>
    <row r="4">
      <c r="B4" s="3" t="inlineStr">
        <is>
          <t>SUMBER DATA</t>
        </is>
      </c>
    </row>
    <row r="5" ht="45" customHeight="1">
      <c r="B5" s="4" t="inlineStr">
        <is>
          <t>Dataset Kaggle: “Shampoo Sales Dataset” (redwankarimsony/shampoo-saled-dataset, lisensi CC0) — penjualan sampo bulanan, Januari 2001 s.d. Desember 2003, 36 periode (syarat tugas: minimal 12 periode). URL Kaggle: https://www.kaggle.com/datasets/redwankarimsony/shampoo-saled-dataset</t>
        </is>
      </c>
    </row>
    <row r="6" ht="45" customHeight="1">
      <c r="B6" s="4" t="inlineStr">
        <is>
          <t>Catatan kejujuran data: unduhan langsung dari Kaggle memerlukan login, sehingga file CSV yang dipakai di sini adalah seri yang nilainya identik dan sudah diverifikasi nilai per nilai terhadap seri tersebut. Kelompok dapat mengunduh ulang dari akun Kaggle masing-masing bila dosen meminta bukti unduhan.</t>
        </is>
      </c>
    </row>
    <row r="8">
      <c r="B8" s="3" t="inlineStr">
        <is>
          <t>ASUMSI PERHITUNGAN (sel kuning = input, boleh diubah — seluruh hasil ikut berubah)</t>
        </is>
      </c>
    </row>
    <row r="9">
      <c r="B9" s="5" t="inlineStr">
        <is>
          <t>Alpha Exponential Smoothing (α)</t>
        </is>
      </c>
      <c r="C9" s="6" t="n">
        <v>0.3</v>
      </c>
      <c r="D9" s="7" t="inlineStr">
        <is>
          <t>Bobot data terbaru; 0 &lt; α &lt; 1.</t>
        </is>
      </c>
    </row>
    <row r="10">
      <c r="B10" s="5" t="inlineStr">
        <is>
          <t>Ramalan awal ES</t>
        </is>
      </c>
      <c r="C10" s="8" t="inlineStr">
        <is>
          <t>Aktual periode 1</t>
        </is>
      </c>
      <c r="D10" s="7" t="inlineStr">
        <is>
          <t>Sesuai materi: ES membutuhkan ramalan awal.</t>
        </is>
      </c>
    </row>
    <row r="11">
      <c r="B11" s="5" t="inlineStr">
        <is>
          <t>Jendela evaluasi</t>
        </is>
      </c>
      <c r="C11" s="8" t="inlineStr">
        <is>
          <t>Periode 4–36 (33 periode)</t>
        </is>
      </c>
      <c r="D11" s="7" t="inlineStr">
        <is>
          <t>Sama untuk semua metode agar adil (MA3 baru punya ramalan sejak periode 4).</t>
        </is>
      </c>
    </row>
    <row r="12">
      <c r="B12" s="5" t="inlineStr">
        <is>
          <t>Biaya pesan S (Rp/pesanan)</t>
        </is>
      </c>
      <c r="C12" s="9" t="n">
        <v>100000</v>
      </c>
      <c r="D12" s="7" t="inlineStr">
        <is>
          <t>ASUMSI kelompok (bukan dari dosen) — sesuaikan bila ada data biaya riil.</t>
        </is>
      </c>
    </row>
    <row r="13">
      <c r="B13" s="5" t="inlineStr">
        <is>
          <t>Harga per unit (Rp)</t>
        </is>
      </c>
      <c r="C13" s="9" t="n">
        <v>45000</v>
      </c>
      <c r="D13" s="7" t="inlineStr">
        <is>
          <t>ASUMSI kelompok — dasar biaya simpan.</t>
        </is>
      </c>
    </row>
    <row r="14">
      <c r="B14" s="5" t="inlineStr">
        <is>
          <t>Biaya simpan H (Rp/unit/tahun)</t>
        </is>
      </c>
      <c r="C14" s="9" t="n">
        <v>9000</v>
      </c>
      <c r="D14" s="7" t="inlineStr">
        <is>
          <t>ASUMSI kelompok = 20% × harga per unit.</t>
        </is>
      </c>
    </row>
    <row r="15">
      <c r="B15" s="5" t="inlineStr">
        <is>
          <t>Lead time (hari)</t>
        </is>
      </c>
      <c r="C15" s="10" t="n">
        <v>7</v>
      </c>
      <c r="D15" s="7" t="inlineStr">
        <is>
          <t>ASUMSI kelompok — waktu tunggu sejak pesan sampai barang datang.</t>
        </is>
      </c>
    </row>
    <row r="16">
      <c r="B16" s="5" t="inlineStr">
        <is>
          <t>Tingkat layanan</t>
        </is>
      </c>
      <c r="C16" s="11" t="n">
        <v>0.95</v>
      </c>
      <c r="D16" s="7" t="inlineStr">
        <is>
          <t>ASUMSI kelompok — peluang tidak kehabisan stok.</t>
        </is>
      </c>
    </row>
    <row r="17">
      <c r="B17" s="5" t="inlineStr">
        <is>
          <t>Z (dari tingkat layanan)</t>
        </is>
      </c>
      <c r="C17" s="12">
        <f>_xlfn.NORM.S.INV(C16)</f>
        <v/>
      </c>
      <c r="D17" s="7" t="inlineStr">
        <is>
          <t>Rumus dasar Excel (NORM.S.INV).</t>
        </is>
      </c>
    </row>
    <row r="18">
      <c r="B18" s="5" t="inlineStr">
        <is>
          <t>Hari per bulan (pembagi)</t>
        </is>
      </c>
      <c r="C18" s="10" t="n">
        <v>30</v>
      </c>
      <c r="D18" s="7" t="inlineStr">
        <is>
          <t>Konversi permintaan bulanan ke harian.</t>
        </is>
      </c>
    </row>
    <row r="20">
      <c r="B20" s="3" t="inlineStr">
        <is>
          <t>KESIMPULAN (otomatis — terhubung ke sheet Perbandingan &amp; Persediaan)</t>
        </is>
      </c>
    </row>
    <row r="21">
      <c r="B21" s="5" t="inlineStr">
        <is>
          <t>Metode terbaik (MAPE terkecil)</t>
        </is>
      </c>
      <c r="C21" s="13">
        <f>Perbandingan!B12</f>
        <v/>
      </c>
    </row>
    <row r="22">
      <c r="B22" s="5" t="inlineStr">
        <is>
          <t>MAPE metode terbaik</t>
        </is>
      </c>
      <c r="C22" s="14">
        <f>Perbandingan!B15</f>
        <v/>
      </c>
    </row>
    <row r="23">
      <c r="B23" s="5" t="inlineStr">
        <is>
          <t>MAE metode terbaik (unit)</t>
        </is>
      </c>
      <c r="C23" s="15">
        <f>Perbandingan!B14</f>
        <v/>
      </c>
    </row>
    <row r="24">
      <c r="B24" s="5" t="inlineStr">
        <is>
          <t>Ramalan periode 37 / Jan 2004 (unit/bulan)</t>
        </is>
      </c>
      <c r="C24" s="15">
        <f>Perbandingan!B13</f>
        <v/>
      </c>
    </row>
    <row r="25">
      <c r="B25" s="5" t="inlineStr">
        <is>
          <t>EOQ — jumlah pesanan optimal (unit/pesanan)</t>
        </is>
      </c>
      <c r="C25" s="16">
        <f>Persediaan!E17</f>
        <v/>
      </c>
    </row>
    <row r="26">
      <c r="B26" s="5" t="inlineStr">
        <is>
          <t>Safety stock / stok aman (unit)</t>
        </is>
      </c>
      <c r="C26" s="16">
        <f>Persediaan!E18</f>
        <v/>
      </c>
    </row>
    <row r="27">
      <c r="B27" s="5" t="inlineStr">
        <is>
          <t>Reorder point / titik pesan kembali (unit)</t>
        </is>
      </c>
      <c r="C27" s="16">
        <f>Persediaan!E19</f>
        <v/>
      </c>
    </row>
    <row r="29" ht="45" customHeight="1">
      <c r="B29" s="4" t="inlineStr">
        <is>
          <t>Cara memakai: ubah sel kuning di atas bila kelompok memakai asumsi biaya/lead time/α yang berbeda, lalu seluruh ramalan, MAE/MAPE, EOQ, safety stock, dan ROP terhitung ulang otomatis. Jangan mengetik angka hasil secara manual di sheet lain — semua sel hasil berisi rumus.</t>
        </is>
      </c>
    </row>
  </sheetData>
  <mergeCells count="3">
    <mergeCell ref="B29:D29"/>
    <mergeCell ref="B6:D6"/>
    <mergeCell ref="B5:D5"/>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C42"/>
  <sheetViews>
    <sheetView workbookViewId="0">
      <selection activeCell="A1" sqref="A1"/>
    </sheetView>
  </sheetViews>
  <sheetFormatPr baseColWidth="8" defaultRowHeight="15"/>
  <cols>
    <col width="30" customWidth="1" min="1" max="1"/>
    <col width="16" customWidth="1" min="2" max="2"/>
    <col width="26" customWidth="1" min="3" max="3"/>
  </cols>
  <sheetData>
    <row r="1">
      <c r="A1" s="1" t="inlineStr">
        <is>
          <t>DATA HISTORIS PENJUALAN — SAMPO (BULANAN)</t>
        </is>
      </c>
    </row>
    <row r="2">
      <c r="A2" s="2" t="inlineStr">
        <is>
          <t>Sumber: dataset Kaggle “Shampoo Sales Dataset” (redwankarimsony/shampoo-saled-dataset). Satuan: unit.</t>
        </is>
      </c>
    </row>
    <row r="3">
      <c r="A3" s="17" t="inlineStr">
        <is>
          <t>Periode</t>
        </is>
      </c>
      <c r="B3" s="17" t="inlineStr">
        <is>
          <t>Bulan</t>
        </is>
      </c>
      <c r="C3" s="17" t="inlineStr">
        <is>
          <t>Penjualan Aktual (unit)</t>
        </is>
      </c>
    </row>
    <row r="4">
      <c r="A4" s="18" t="n">
        <v>1</v>
      </c>
      <c r="B4" s="18" t="inlineStr">
        <is>
          <t>Jan 2001</t>
        </is>
      </c>
      <c r="C4" s="19" t="n">
        <v>266</v>
      </c>
    </row>
    <row r="5">
      <c r="A5" s="18" t="n">
        <v>2</v>
      </c>
      <c r="B5" s="18" t="inlineStr">
        <is>
          <t>Feb 2001</t>
        </is>
      </c>
      <c r="C5" s="19" t="n">
        <v>145.9</v>
      </c>
    </row>
    <row r="6">
      <c r="A6" s="18" t="n">
        <v>3</v>
      </c>
      <c r="B6" s="18" t="inlineStr">
        <is>
          <t>Mar 2001</t>
        </is>
      </c>
      <c r="C6" s="19" t="n">
        <v>183.1</v>
      </c>
    </row>
    <row r="7">
      <c r="A7" s="18" t="n">
        <v>4</v>
      </c>
      <c r="B7" s="18" t="inlineStr">
        <is>
          <t>Apr 2001</t>
        </is>
      </c>
      <c r="C7" s="19" t="n">
        <v>119.3</v>
      </c>
    </row>
    <row r="8">
      <c r="A8" s="18" t="n">
        <v>5</v>
      </c>
      <c r="B8" s="18" t="inlineStr">
        <is>
          <t>Mei 2001</t>
        </is>
      </c>
      <c r="C8" s="19" t="n">
        <v>180.3</v>
      </c>
    </row>
    <row r="9">
      <c r="A9" s="18" t="n">
        <v>6</v>
      </c>
      <c r="B9" s="18" t="inlineStr">
        <is>
          <t>Jun 2001</t>
        </is>
      </c>
      <c r="C9" s="19" t="n">
        <v>168.5</v>
      </c>
    </row>
    <row r="10">
      <c r="A10" s="18" t="n">
        <v>7</v>
      </c>
      <c r="B10" s="18" t="inlineStr">
        <is>
          <t>Jul 2001</t>
        </is>
      </c>
      <c r="C10" s="19" t="n">
        <v>231.8</v>
      </c>
    </row>
    <row r="11">
      <c r="A11" s="18" t="n">
        <v>8</v>
      </c>
      <c r="B11" s="18" t="inlineStr">
        <is>
          <t>Agu 2001</t>
        </is>
      </c>
      <c r="C11" s="19" t="n">
        <v>224.5</v>
      </c>
    </row>
    <row r="12">
      <c r="A12" s="18" t="n">
        <v>9</v>
      </c>
      <c r="B12" s="18" t="inlineStr">
        <is>
          <t>Sep 2001</t>
        </is>
      </c>
      <c r="C12" s="19" t="n">
        <v>192.8</v>
      </c>
    </row>
    <row r="13">
      <c r="A13" s="18" t="n">
        <v>10</v>
      </c>
      <c r="B13" s="18" t="inlineStr">
        <is>
          <t>Okt 2001</t>
        </is>
      </c>
      <c r="C13" s="19" t="n">
        <v>122.9</v>
      </c>
    </row>
    <row r="14">
      <c r="A14" s="18" t="n">
        <v>11</v>
      </c>
      <c r="B14" s="18" t="inlineStr">
        <is>
          <t>Nov 2001</t>
        </is>
      </c>
      <c r="C14" s="19" t="n">
        <v>336.5</v>
      </c>
    </row>
    <row r="15">
      <c r="A15" s="18" t="n">
        <v>12</v>
      </c>
      <c r="B15" s="18" t="inlineStr">
        <is>
          <t>Des 2001</t>
        </is>
      </c>
      <c r="C15" s="19" t="n">
        <v>185.9</v>
      </c>
    </row>
    <row r="16">
      <c r="A16" s="18" t="n">
        <v>13</v>
      </c>
      <c r="B16" s="18" t="inlineStr">
        <is>
          <t>Jan 2002</t>
        </is>
      </c>
      <c r="C16" s="19" t="n">
        <v>194.3</v>
      </c>
    </row>
    <row r="17">
      <c r="A17" s="18" t="n">
        <v>14</v>
      </c>
      <c r="B17" s="18" t="inlineStr">
        <is>
          <t>Feb 2002</t>
        </is>
      </c>
      <c r="C17" s="19" t="n">
        <v>149.5</v>
      </c>
    </row>
    <row r="18">
      <c r="A18" s="18" t="n">
        <v>15</v>
      </c>
      <c r="B18" s="18" t="inlineStr">
        <is>
          <t>Mar 2002</t>
        </is>
      </c>
      <c r="C18" s="19" t="n">
        <v>210.1</v>
      </c>
    </row>
    <row r="19">
      <c r="A19" s="18" t="n">
        <v>16</v>
      </c>
      <c r="B19" s="18" t="inlineStr">
        <is>
          <t>Apr 2002</t>
        </is>
      </c>
      <c r="C19" s="19" t="n">
        <v>273.3</v>
      </c>
    </row>
    <row r="20">
      <c r="A20" s="18" t="n">
        <v>17</v>
      </c>
      <c r="B20" s="18" t="inlineStr">
        <is>
          <t>Mei 2002</t>
        </is>
      </c>
      <c r="C20" s="19" t="n">
        <v>191.4</v>
      </c>
    </row>
    <row r="21">
      <c r="A21" s="18" t="n">
        <v>18</v>
      </c>
      <c r="B21" s="18" t="inlineStr">
        <is>
          <t>Jun 2002</t>
        </is>
      </c>
      <c r="C21" s="19" t="n">
        <v>287</v>
      </c>
    </row>
    <row r="22">
      <c r="A22" s="18" t="n">
        <v>19</v>
      </c>
      <c r="B22" s="18" t="inlineStr">
        <is>
          <t>Jul 2002</t>
        </is>
      </c>
      <c r="C22" s="19" t="n">
        <v>226</v>
      </c>
    </row>
    <row r="23">
      <c r="A23" s="18" t="n">
        <v>20</v>
      </c>
      <c r="B23" s="18" t="inlineStr">
        <is>
          <t>Agu 2002</t>
        </is>
      </c>
      <c r="C23" s="19" t="n">
        <v>303.6</v>
      </c>
    </row>
    <row r="24">
      <c r="A24" s="18" t="n">
        <v>21</v>
      </c>
      <c r="B24" s="18" t="inlineStr">
        <is>
          <t>Sep 2002</t>
        </is>
      </c>
      <c r="C24" s="19" t="n">
        <v>289.9</v>
      </c>
    </row>
    <row r="25">
      <c r="A25" s="18" t="n">
        <v>22</v>
      </c>
      <c r="B25" s="18" t="inlineStr">
        <is>
          <t>Okt 2002</t>
        </is>
      </c>
      <c r="C25" s="19" t="n">
        <v>421.6</v>
      </c>
    </row>
    <row r="26">
      <c r="A26" s="18" t="n">
        <v>23</v>
      </c>
      <c r="B26" s="18" t="inlineStr">
        <is>
          <t>Nov 2002</t>
        </is>
      </c>
      <c r="C26" s="19" t="n">
        <v>264.5</v>
      </c>
    </row>
    <row r="27">
      <c r="A27" s="18" t="n">
        <v>24</v>
      </c>
      <c r="B27" s="18" t="inlineStr">
        <is>
          <t>Des 2002</t>
        </is>
      </c>
      <c r="C27" s="19" t="n">
        <v>342.3</v>
      </c>
    </row>
    <row r="28">
      <c r="A28" s="18" t="n">
        <v>25</v>
      </c>
      <c r="B28" s="18" t="inlineStr">
        <is>
          <t>Jan 2003</t>
        </is>
      </c>
      <c r="C28" s="19" t="n">
        <v>339.7</v>
      </c>
    </row>
    <row r="29">
      <c r="A29" s="18" t="n">
        <v>26</v>
      </c>
      <c r="B29" s="18" t="inlineStr">
        <is>
          <t>Feb 2003</t>
        </is>
      </c>
      <c r="C29" s="19" t="n">
        <v>440.4</v>
      </c>
    </row>
    <row r="30">
      <c r="A30" s="18" t="n">
        <v>27</v>
      </c>
      <c r="B30" s="18" t="inlineStr">
        <is>
          <t>Mar 2003</t>
        </is>
      </c>
      <c r="C30" s="19" t="n">
        <v>315.9</v>
      </c>
    </row>
    <row r="31">
      <c r="A31" s="18" t="n">
        <v>28</v>
      </c>
      <c r="B31" s="18" t="inlineStr">
        <is>
          <t>Apr 2003</t>
        </is>
      </c>
      <c r="C31" s="19" t="n">
        <v>439.3</v>
      </c>
    </row>
    <row r="32">
      <c r="A32" s="18" t="n">
        <v>29</v>
      </c>
      <c r="B32" s="18" t="inlineStr">
        <is>
          <t>Mei 2003</t>
        </is>
      </c>
      <c r="C32" s="19" t="n">
        <v>401.3</v>
      </c>
    </row>
    <row r="33">
      <c r="A33" s="18" t="n">
        <v>30</v>
      </c>
      <c r="B33" s="18" t="inlineStr">
        <is>
          <t>Jun 2003</t>
        </is>
      </c>
      <c r="C33" s="19" t="n">
        <v>437.4</v>
      </c>
    </row>
    <row r="34">
      <c r="A34" s="18" t="n">
        <v>31</v>
      </c>
      <c r="B34" s="18" t="inlineStr">
        <is>
          <t>Jul 2003</t>
        </is>
      </c>
      <c r="C34" s="19" t="n">
        <v>575.5</v>
      </c>
    </row>
    <row r="35">
      <c r="A35" s="18" t="n">
        <v>32</v>
      </c>
      <c r="B35" s="18" t="inlineStr">
        <is>
          <t>Agu 2003</t>
        </is>
      </c>
      <c r="C35" s="19" t="n">
        <v>407.6</v>
      </c>
    </row>
    <row r="36">
      <c r="A36" s="18" t="n">
        <v>33</v>
      </c>
      <c r="B36" s="18" t="inlineStr">
        <is>
          <t>Sep 2003</t>
        </is>
      </c>
      <c r="C36" s="19" t="n">
        <v>682</v>
      </c>
    </row>
    <row r="37">
      <c r="A37" s="18" t="n">
        <v>34</v>
      </c>
      <c r="B37" s="18" t="inlineStr">
        <is>
          <t>Okt 2003</t>
        </is>
      </c>
      <c r="C37" s="19" t="n">
        <v>475.3</v>
      </c>
    </row>
    <row r="38">
      <c r="A38" s="18" t="n">
        <v>35</v>
      </c>
      <c r="B38" s="18" t="inlineStr">
        <is>
          <t>Nov 2003</t>
        </is>
      </c>
      <c r="C38" s="19" t="n">
        <v>581.3</v>
      </c>
    </row>
    <row r="39">
      <c r="A39" s="18" t="n">
        <v>36</v>
      </c>
      <c r="B39" s="18" t="inlineStr">
        <is>
          <t>Des 2003</t>
        </is>
      </c>
      <c r="C39" s="19" t="n">
        <v>646.9</v>
      </c>
    </row>
    <row r="40">
      <c r="A40" s="3" t="inlineStr">
        <is>
          <t>Rata-rata</t>
        </is>
      </c>
      <c r="C40" s="20">
        <f>AVERAGE(C4:C39)</f>
        <v/>
      </c>
    </row>
    <row r="41">
      <c r="A41" s="3" t="inlineStr">
        <is>
          <t>Simpangan baku (STDEV.S)</t>
        </is>
      </c>
      <c r="C41" s="20">
        <f>_xlfn.STDEV.S(C4:C39)</f>
        <v/>
      </c>
    </row>
    <row r="42">
      <c r="A42" s="3" t="inlineStr">
        <is>
          <t>Jumlah periode</t>
        </is>
      </c>
      <c r="C42" s="21">
        <f>COUNT(C4:C39)</f>
        <v/>
      </c>
    </row>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L40"/>
  <sheetViews>
    <sheetView workbookViewId="0">
      <pane ySplit="3" topLeftCell="A4" activePane="bottomLeft" state="frozen"/>
      <selection pane="bottomLeft" activeCell="A1" sqref="A1"/>
    </sheetView>
  </sheetViews>
  <sheetFormatPr baseColWidth="8" defaultRowHeight="15"/>
  <cols>
    <col width="10" customWidth="1" min="1" max="1"/>
    <col width="12" customWidth="1" min="2" max="2"/>
    <col width="14" customWidth="1" min="3" max="3"/>
    <col width="14" customWidth="1" min="4" max="4"/>
    <col width="12" customWidth="1" min="5" max="5"/>
    <col width="15" customWidth="1" min="6" max="6"/>
    <col width="14" customWidth="1" min="7" max="7"/>
    <col width="12" customWidth="1" min="8" max="8"/>
    <col width="15" customWidth="1" min="9" max="9"/>
    <col width="15" customWidth="1" min="10" max="10"/>
    <col width="13" customWidth="1" min="11" max="11"/>
    <col width="16" customWidth="1" min="12" max="12"/>
  </cols>
  <sheetData>
    <row r="1">
      <c r="A1" s="1" t="inlineStr">
        <is>
          <t>PERAMALAN — 3 METODE (MOVING AVERAGE 3, EXPONENTIAL SMOOTHING α=0,3, REGRESI LINEAR)</t>
        </is>
      </c>
    </row>
    <row r="2">
      <c r="A2" s="2" t="inlineStr">
        <is>
          <t>Rumus dasar: MA3 = AVERAGE 3 aktual terakhir; ES: F(t+1) = α·D(t) + (1−α)·F(t); Regresi: Ŷ = a + bX dengan a = INTERCEPT dan b = SLOPE. Error hanya dievaluasi pada periode 4–36.</t>
        </is>
      </c>
    </row>
    <row r="3">
      <c r="A3" s="17" t="inlineStr">
        <is>
          <t>Periode</t>
        </is>
      </c>
      <c r="B3" s="17" t="inlineStr">
        <is>
          <t>Bulan</t>
        </is>
      </c>
      <c r="C3" s="17" t="inlineStr">
        <is>
          <t>Aktual (unit)</t>
        </is>
      </c>
      <c r="D3" s="17" t="inlineStr">
        <is>
          <t>Ramalan MA3</t>
        </is>
      </c>
      <c r="E3" s="17" t="inlineStr">
        <is>
          <t>|Error| MA3</t>
        </is>
      </c>
      <c r="F3" s="17" t="inlineStr">
        <is>
          <t>|Error|/Aktual MA3</t>
        </is>
      </c>
      <c r="G3" s="17" t="inlineStr">
        <is>
          <t>Ramalan ES</t>
        </is>
      </c>
      <c r="H3" s="17" t="inlineStr">
        <is>
          <t>|Error| ES</t>
        </is>
      </c>
      <c r="I3" s="17" t="inlineStr">
        <is>
          <t>|Error|/Aktual ES</t>
        </is>
      </c>
      <c r="J3" s="17" t="inlineStr">
        <is>
          <t>Ramalan Regresi</t>
        </is>
      </c>
      <c r="K3" s="17" t="inlineStr">
        <is>
          <t>|Error| Regresi</t>
        </is>
      </c>
      <c r="L3" s="17" t="inlineStr">
        <is>
          <t>|Error|/Aktual Regresi</t>
        </is>
      </c>
    </row>
    <row r="4">
      <c r="A4" s="18">
        <f>Data!A4</f>
        <v/>
      </c>
      <c r="B4" s="22">
        <f>Data!B4</f>
        <v/>
      </c>
      <c r="C4" s="22">
        <f>Data!C4</f>
        <v/>
      </c>
      <c r="D4" s="22" t="n"/>
      <c r="E4" s="22">
        <f>IF(D4="","",ABS(C4-D4))</f>
        <v/>
      </c>
      <c r="F4" s="22">
        <f>IF(E4="","",E4/C4)</f>
        <v/>
      </c>
      <c r="G4" s="22">
        <f>C4</f>
        <v/>
      </c>
      <c r="H4" s="22">
        <f>IF(G4="","",ABS(C4-G4))</f>
        <v/>
      </c>
      <c r="I4" s="22">
        <f>IF(H4="","",H4/C4)</f>
        <v/>
      </c>
      <c r="J4" s="22">
        <f>Perbandingan!$B$9+Perbandingan!$B$10*A4</f>
        <v/>
      </c>
      <c r="K4" s="22">
        <f>IF(J4="","",ABS(C4-J4))</f>
        <v/>
      </c>
      <c r="L4" s="22">
        <f>IF(K4="","",K4/C4)</f>
        <v/>
      </c>
    </row>
    <row r="5">
      <c r="A5" s="18">
        <f>Data!A5</f>
        <v/>
      </c>
      <c r="B5" s="22">
        <f>Data!B5</f>
        <v/>
      </c>
      <c r="C5" s="22">
        <f>Data!C5</f>
        <v/>
      </c>
      <c r="D5" s="22" t="n"/>
      <c r="E5" s="22">
        <f>IF(D5="","",ABS(C5-D5))</f>
        <v/>
      </c>
      <c r="F5" s="22">
        <f>IF(E5="","",E5/C5)</f>
        <v/>
      </c>
      <c r="G5" s="22">
        <f>README!$C$9*C4+(1-README!$C$9)*G4</f>
        <v/>
      </c>
      <c r="H5" s="22">
        <f>IF(G5="","",ABS(C5-G5))</f>
        <v/>
      </c>
      <c r="I5" s="22">
        <f>IF(H5="","",H5/C5)</f>
        <v/>
      </c>
      <c r="J5" s="22">
        <f>Perbandingan!$B$9+Perbandingan!$B$10*A5</f>
        <v/>
      </c>
      <c r="K5" s="22">
        <f>IF(J5="","",ABS(C5-J5))</f>
        <v/>
      </c>
      <c r="L5" s="22">
        <f>IF(K5="","",K5/C5)</f>
        <v/>
      </c>
    </row>
    <row r="6">
      <c r="A6" s="18">
        <f>Data!A6</f>
        <v/>
      </c>
      <c r="B6" s="22">
        <f>Data!B6</f>
        <v/>
      </c>
      <c r="C6" s="22">
        <f>Data!C6</f>
        <v/>
      </c>
      <c r="D6" s="22" t="n"/>
      <c r="E6" s="22">
        <f>IF(D6="","",ABS(C6-D6))</f>
        <v/>
      </c>
      <c r="F6" s="22">
        <f>IF(E6="","",E6/C6)</f>
        <v/>
      </c>
      <c r="G6" s="22">
        <f>README!$C$9*C5+(1-README!$C$9)*G5</f>
        <v/>
      </c>
      <c r="H6" s="22">
        <f>IF(G6="","",ABS(C6-G6))</f>
        <v/>
      </c>
      <c r="I6" s="22">
        <f>IF(H6="","",H6/C6)</f>
        <v/>
      </c>
      <c r="J6" s="22">
        <f>Perbandingan!$B$9+Perbandingan!$B$10*A6</f>
        <v/>
      </c>
      <c r="K6" s="22">
        <f>IF(J6="","",ABS(C6-J6))</f>
        <v/>
      </c>
      <c r="L6" s="22">
        <f>IF(K6="","",K6/C6)</f>
        <v/>
      </c>
    </row>
    <row r="7">
      <c r="A7" s="18">
        <f>Data!A7</f>
        <v/>
      </c>
      <c r="B7" s="22">
        <f>Data!B7</f>
        <v/>
      </c>
      <c r="C7" s="22">
        <f>Data!C7</f>
        <v/>
      </c>
      <c r="D7" s="22">
        <f>AVERAGE(C4:C6)</f>
        <v/>
      </c>
      <c r="E7" s="22">
        <f>IF(D7="","",ABS(C7-D7))</f>
        <v/>
      </c>
      <c r="F7" s="22">
        <f>IF(E7="","",E7/C7)</f>
        <v/>
      </c>
      <c r="G7" s="22">
        <f>README!$C$9*C6+(1-README!$C$9)*G6</f>
        <v/>
      </c>
      <c r="H7" s="22">
        <f>IF(G7="","",ABS(C7-G7))</f>
        <v/>
      </c>
      <c r="I7" s="22">
        <f>IF(H7="","",H7/C7)</f>
        <v/>
      </c>
      <c r="J7" s="22">
        <f>Perbandingan!$B$9+Perbandingan!$B$10*A7</f>
        <v/>
      </c>
      <c r="K7" s="22">
        <f>IF(J7="","",ABS(C7-J7))</f>
        <v/>
      </c>
      <c r="L7" s="22">
        <f>IF(K7="","",K7/C7)</f>
        <v/>
      </c>
    </row>
    <row r="8">
      <c r="A8" s="18">
        <f>Data!A8</f>
        <v/>
      </c>
      <c r="B8" s="22">
        <f>Data!B8</f>
        <v/>
      </c>
      <c r="C8" s="22">
        <f>Data!C8</f>
        <v/>
      </c>
      <c r="D8" s="22">
        <f>AVERAGE(C5:C7)</f>
        <v/>
      </c>
      <c r="E8" s="22">
        <f>IF(D8="","",ABS(C8-D8))</f>
        <v/>
      </c>
      <c r="F8" s="22">
        <f>IF(E8="","",E8/C8)</f>
        <v/>
      </c>
      <c r="G8" s="22">
        <f>README!$C$9*C7+(1-README!$C$9)*G7</f>
        <v/>
      </c>
      <c r="H8" s="22">
        <f>IF(G8="","",ABS(C8-G8))</f>
        <v/>
      </c>
      <c r="I8" s="22">
        <f>IF(H8="","",H8/C8)</f>
        <v/>
      </c>
      <c r="J8" s="22">
        <f>Perbandingan!$B$9+Perbandingan!$B$10*A8</f>
        <v/>
      </c>
      <c r="K8" s="22">
        <f>IF(J8="","",ABS(C8-J8))</f>
        <v/>
      </c>
      <c r="L8" s="22">
        <f>IF(K8="","",K8/C8)</f>
        <v/>
      </c>
    </row>
    <row r="9">
      <c r="A9" s="18">
        <f>Data!A9</f>
        <v/>
      </c>
      <c r="B9" s="22">
        <f>Data!B9</f>
        <v/>
      </c>
      <c r="C9" s="22">
        <f>Data!C9</f>
        <v/>
      </c>
      <c r="D9" s="22">
        <f>AVERAGE(C6:C8)</f>
        <v/>
      </c>
      <c r="E9" s="22">
        <f>IF(D9="","",ABS(C9-D9))</f>
        <v/>
      </c>
      <c r="F9" s="22">
        <f>IF(E9="","",E9/C9)</f>
        <v/>
      </c>
      <c r="G9" s="22">
        <f>README!$C$9*C8+(1-README!$C$9)*G8</f>
        <v/>
      </c>
      <c r="H9" s="22">
        <f>IF(G9="","",ABS(C9-G9))</f>
        <v/>
      </c>
      <c r="I9" s="22">
        <f>IF(H9="","",H9/C9)</f>
        <v/>
      </c>
      <c r="J9" s="22">
        <f>Perbandingan!$B$9+Perbandingan!$B$10*A9</f>
        <v/>
      </c>
      <c r="K9" s="22">
        <f>IF(J9="","",ABS(C9-J9))</f>
        <v/>
      </c>
      <c r="L9" s="22">
        <f>IF(K9="","",K9/C9)</f>
        <v/>
      </c>
    </row>
    <row r="10">
      <c r="A10" s="18">
        <f>Data!A10</f>
        <v/>
      </c>
      <c r="B10" s="22">
        <f>Data!B10</f>
        <v/>
      </c>
      <c r="C10" s="22">
        <f>Data!C10</f>
        <v/>
      </c>
      <c r="D10" s="22">
        <f>AVERAGE(C7:C9)</f>
        <v/>
      </c>
      <c r="E10" s="22">
        <f>IF(D10="","",ABS(C10-D10))</f>
        <v/>
      </c>
      <c r="F10" s="22">
        <f>IF(E10="","",E10/C10)</f>
        <v/>
      </c>
      <c r="G10" s="22">
        <f>README!$C$9*C9+(1-README!$C$9)*G9</f>
        <v/>
      </c>
      <c r="H10" s="22">
        <f>IF(G10="","",ABS(C10-G10))</f>
        <v/>
      </c>
      <c r="I10" s="22">
        <f>IF(H10="","",H10/C10)</f>
        <v/>
      </c>
      <c r="J10" s="22">
        <f>Perbandingan!$B$9+Perbandingan!$B$10*A10</f>
        <v/>
      </c>
      <c r="K10" s="22">
        <f>IF(J10="","",ABS(C10-J10))</f>
        <v/>
      </c>
      <c r="L10" s="22">
        <f>IF(K10="","",K10/C10)</f>
        <v/>
      </c>
    </row>
    <row r="11">
      <c r="A11" s="18">
        <f>Data!A11</f>
        <v/>
      </c>
      <c r="B11" s="22">
        <f>Data!B11</f>
        <v/>
      </c>
      <c r="C11" s="22">
        <f>Data!C11</f>
        <v/>
      </c>
      <c r="D11" s="22">
        <f>AVERAGE(C8:C10)</f>
        <v/>
      </c>
      <c r="E11" s="22">
        <f>IF(D11="","",ABS(C11-D11))</f>
        <v/>
      </c>
      <c r="F11" s="22">
        <f>IF(E11="","",E11/C11)</f>
        <v/>
      </c>
      <c r="G11" s="22">
        <f>README!$C$9*C10+(1-README!$C$9)*G10</f>
        <v/>
      </c>
      <c r="H11" s="22">
        <f>IF(G11="","",ABS(C11-G11))</f>
        <v/>
      </c>
      <c r="I11" s="22">
        <f>IF(H11="","",H11/C11)</f>
        <v/>
      </c>
      <c r="J11" s="22">
        <f>Perbandingan!$B$9+Perbandingan!$B$10*A11</f>
        <v/>
      </c>
      <c r="K11" s="22">
        <f>IF(J11="","",ABS(C11-J11))</f>
        <v/>
      </c>
      <c r="L11" s="22">
        <f>IF(K11="","",K11/C11)</f>
        <v/>
      </c>
    </row>
    <row r="12">
      <c r="A12" s="18">
        <f>Data!A12</f>
        <v/>
      </c>
      <c r="B12" s="22">
        <f>Data!B12</f>
        <v/>
      </c>
      <c r="C12" s="22">
        <f>Data!C12</f>
        <v/>
      </c>
      <c r="D12" s="22">
        <f>AVERAGE(C9:C11)</f>
        <v/>
      </c>
      <c r="E12" s="22">
        <f>IF(D12="","",ABS(C12-D12))</f>
        <v/>
      </c>
      <c r="F12" s="22">
        <f>IF(E12="","",E12/C12)</f>
        <v/>
      </c>
      <c r="G12" s="22">
        <f>README!$C$9*C11+(1-README!$C$9)*G11</f>
        <v/>
      </c>
      <c r="H12" s="22">
        <f>IF(G12="","",ABS(C12-G12))</f>
        <v/>
      </c>
      <c r="I12" s="22">
        <f>IF(H12="","",H12/C12)</f>
        <v/>
      </c>
      <c r="J12" s="22">
        <f>Perbandingan!$B$9+Perbandingan!$B$10*A12</f>
        <v/>
      </c>
      <c r="K12" s="22">
        <f>IF(J12="","",ABS(C12-J12))</f>
        <v/>
      </c>
      <c r="L12" s="22">
        <f>IF(K12="","",K12/C12)</f>
        <v/>
      </c>
    </row>
    <row r="13">
      <c r="A13" s="18">
        <f>Data!A13</f>
        <v/>
      </c>
      <c r="B13" s="22">
        <f>Data!B13</f>
        <v/>
      </c>
      <c r="C13" s="22">
        <f>Data!C13</f>
        <v/>
      </c>
      <c r="D13" s="22">
        <f>AVERAGE(C10:C12)</f>
        <v/>
      </c>
      <c r="E13" s="22">
        <f>IF(D13="","",ABS(C13-D13))</f>
        <v/>
      </c>
      <c r="F13" s="22">
        <f>IF(E13="","",E13/C13)</f>
        <v/>
      </c>
      <c r="G13" s="22">
        <f>README!$C$9*C12+(1-README!$C$9)*G12</f>
        <v/>
      </c>
      <c r="H13" s="22">
        <f>IF(G13="","",ABS(C13-G13))</f>
        <v/>
      </c>
      <c r="I13" s="22">
        <f>IF(H13="","",H13/C13)</f>
        <v/>
      </c>
      <c r="J13" s="22">
        <f>Perbandingan!$B$9+Perbandingan!$B$10*A13</f>
        <v/>
      </c>
      <c r="K13" s="22">
        <f>IF(J13="","",ABS(C13-J13))</f>
        <v/>
      </c>
      <c r="L13" s="22">
        <f>IF(K13="","",K13/C13)</f>
        <v/>
      </c>
    </row>
    <row r="14">
      <c r="A14" s="18">
        <f>Data!A14</f>
        <v/>
      </c>
      <c r="B14" s="22">
        <f>Data!B14</f>
        <v/>
      </c>
      <c r="C14" s="22">
        <f>Data!C14</f>
        <v/>
      </c>
      <c r="D14" s="22">
        <f>AVERAGE(C11:C13)</f>
        <v/>
      </c>
      <c r="E14" s="22">
        <f>IF(D14="","",ABS(C14-D14))</f>
        <v/>
      </c>
      <c r="F14" s="22">
        <f>IF(E14="","",E14/C14)</f>
        <v/>
      </c>
      <c r="G14" s="22">
        <f>README!$C$9*C13+(1-README!$C$9)*G13</f>
        <v/>
      </c>
      <c r="H14" s="22">
        <f>IF(G14="","",ABS(C14-G14))</f>
        <v/>
      </c>
      <c r="I14" s="22">
        <f>IF(H14="","",H14/C14)</f>
        <v/>
      </c>
      <c r="J14" s="22">
        <f>Perbandingan!$B$9+Perbandingan!$B$10*A14</f>
        <v/>
      </c>
      <c r="K14" s="22">
        <f>IF(J14="","",ABS(C14-J14))</f>
        <v/>
      </c>
      <c r="L14" s="22">
        <f>IF(K14="","",K14/C14)</f>
        <v/>
      </c>
    </row>
    <row r="15">
      <c r="A15" s="18">
        <f>Data!A15</f>
        <v/>
      </c>
      <c r="B15" s="22">
        <f>Data!B15</f>
        <v/>
      </c>
      <c r="C15" s="22">
        <f>Data!C15</f>
        <v/>
      </c>
      <c r="D15" s="22">
        <f>AVERAGE(C12:C14)</f>
        <v/>
      </c>
      <c r="E15" s="22">
        <f>IF(D15="","",ABS(C15-D15))</f>
        <v/>
      </c>
      <c r="F15" s="22">
        <f>IF(E15="","",E15/C15)</f>
        <v/>
      </c>
      <c r="G15" s="22">
        <f>README!$C$9*C14+(1-README!$C$9)*G14</f>
        <v/>
      </c>
      <c r="H15" s="22">
        <f>IF(G15="","",ABS(C15-G15))</f>
        <v/>
      </c>
      <c r="I15" s="22">
        <f>IF(H15="","",H15/C15)</f>
        <v/>
      </c>
      <c r="J15" s="22">
        <f>Perbandingan!$B$9+Perbandingan!$B$10*A15</f>
        <v/>
      </c>
      <c r="K15" s="22">
        <f>IF(J15="","",ABS(C15-J15))</f>
        <v/>
      </c>
      <c r="L15" s="22">
        <f>IF(K15="","",K15/C15)</f>
        <v/>
      </c>
    </row>
    <row r="16">
      <c r="A16" s="18">
        <f>Data!A16</f>
        <v/>
      </c>
      <c r="B16" s="22">
        <f>Data!B16</f>
        <v/>
      </c>
      <c r="C16" s="22">
        <f>Data!C16</f>
        <v/>
      </c>
      <c r="D16" s="22">
        <f>AVERAGE(C13:C15)</f>
        <v/>
      </c>
      <c r="E16" s="22">
        <f>IF(D16="","",ABS(C16-D16))</f>
        <v/>
      </c>
      <c r="F16" s="22">
        <f>IF(E16="","",E16/C16)</f>
        <v/>
      </c>
      <c r="G16" s="22">
        <f>README!$C$9*C15+(1-README!$C$9)*G15</f>
        <v/>
      </c>
      <c r="H16" s="22">
        <f>IF(G16="","",ABS(C16-G16))</f>
        <v/>
      </c>
      <c r="I16" s="22">
        <f>IF(H16="","",H16/C16)</f>
        <v/>
      </c>
      <c r="J16" s="22">
        <f>Perbandingan!$B$9+Perbandingan!$B$10*A16</f>
        <v/>
      </c>
      <c r="K16" s="22">
        <f>IF(J16="","",ABS(C16-J16))</f>
        <v/>
      </c>
      <c r="L16" s="22">
        <f>IF(K16="","",K16/C16)</f>
        <v/>
      </c>
    </row>
    <row r="17">
      <c r="A17" s="18">
        <f>Data!A17</f>
        <v/>
      </c>
      <c r="B17" s="22">
        <f>Data!B17</f>
        <v/>
      </c>
      <c r="C17" s="22">
        <f>Data!C17</f>
        <v/>
      </c>
      <c r="D17" s="22">
        <f>AVERAGE(C14:C16)</f>
        <v/>
      </c>
      <c r="E17" s="22">
        <f>IF(D17="","",ABS(C17-D17))</f>
        <v/>
      </c>
      <c r="F17" s="22">
        <f>IF(E17="","",E17/C17)</f>
        <v/>
      </c>
      <c r="G17" s="22">
        <f>README!$C$9*C16+(1-README!$C$9)*G16</f>
        <v/>
      </c>
      <c r="H17" s="22">
        <f>IF(G17="","",ABS(C17-G17))</f>
        <v/>
      </c>
      <c r="I17" s="22">
        <f>IF(H17="","",H17/C17)</f>
        <v/>
      </c>
      <c r="J17" s="22">
        <f>Perbandingan!$B$9+Perbandingan!$B$10*A17</f>
        <v/>
      </c>
      <c r="K17" s="22">
        <f>IF(J17="","",ABS(C17-J17))</f>
        <v/>
      </c>
      <c r="L17" s="22">
        <f>IF(K17="","",K17/C17)</f>
        <v/>
      </c>
    </row>
    <row r="18">
      <c r="A18" s="18">
        <f>Data!A18</f>
        <v/>
      </c>
      <c r="B18" s="22">
        <f>Data!B18</f>
        <v/>
      </c>
      <c r="C18" s="22">
        <f>Data!C18</f>
        <v/>
      </c>
      <c r="D18" s="22">
        <f>AVERAGE(C15:C17)</f>
        <v/>
      </c>
      <c r="E18" s="22">
        <f>IF(D18="","",ABS(C18-D18))</f>
        <v/>
      </c>
      <c r="F18" s="22">
        <f>IF(E18="","",E18/C18)</f>
        <v/>
      </c>
      <c r="G18" s="22">
        <f>README!$C$9*C17+(1-README!$C$9)*G17</f>
        <v/>
      </c>
      <c r="H18" s="22">
        <f>IF(G18="","",ABS(C18-G18))</f>
        <v/>
      </c>
      <c r="I18" s="22">
        <f>IF(H18="","",H18/C18)</f>
        <v/>
      </c>
      <c r="J18" s="22">
        <f>Perbandingan!$B$9+Perbandingan!$B$10*A18</f>
        <v/>
      </c>
      <c r="K18" s="22">
        <f>IF(J18="","",ABS(C18-J18))</f>
        <v/>
      </c>
      <c r="L18" s="22">
        <f>IF(K18="","",K18/C18)</f>
        <v/>
      </c>
    </row>
    <row r="19">
      <c r="A19" s="18">
        <f>Data!A19</f>
        <v/>
      </c>
      <c r="B19" s="22">
        <f>Data!B19</f>
        <v/>
      </c>
      <c r="C19" s="22">
        <f>Data!C19</f>
        <v/>
      </c>
      <c r="D19" s="22">
        <f>AVERAGE(C16:C18)</f>
        <v/>
      </c>
      <c r="E19" s="22">
        <f>IF(D19="","",ABS(C19-D19))</f>
        <v/>
      </c>
      <c r="F19" s="22">
        <f>IF(E19="","",E19/C19)</f>
        <v/>
      </c>
      <c r="G19" s="22">
        <f>README!$C$9*C18+(1-README!$C$9)*G18</f>
        <v/>
      </c>
      <c r="H19" s="22">
        <f>IF(G19="","",ABS(C19-G19))</f>
        <v/>
      </c>
      <c r="I19" s="22">
        <f>IF(H19="","",H19/C19)</f>
        <v/>
      </c>
      <c r="J19" s="22">
        <f>Perbandingan!$B$9+Perbandingan!$B$10*A19</f>
        <v/>
      </c>
      <c r="K19" s="22">
        <f>IF(J19="","",ABS(C19-J19))</f>
        <v/>
      </c>
      <c r="L19" s="22">
        <f>IF(K19="","",K19/C19)</f>
        <v/>
      </c>
    </row>
    <row r="20">
      <c r="A20" s="18">
        <f>Data!A20</f>
        <v/>
      </c>
      <c r="B20" s="22">
        <f>Data!B20</f>
        <v/>
      </c>
      <c r="C20" s="22">
        <f>Data!C20</f>
        <v/>
      </c>
      <c r="D20" s="22">
        <f>AVERAGE(C17:C19)</f>
        <v/>
      </c>
      <c r="E20" s="22">
        <f>IF(D20="","",ABS(C20-D20))</f>
        <v/>
      </c>
      <c r="F20" s="22">
        <f>IF(E20="","",E20/C20)</f>
        <v/>
      </c>
      <c r="G20" s="22">
        <f>README!$C$9*C19+(1-README!$C$9)*G19</f>
        <v/>
      </c>
      <c r="H20" s="22">
        <f>IF(G20="","",ABS(C20-G20))</f>
        <v/>
      </c>
      <c r="I20" s="22">
        <f>IF(H20="","",H20/C20)</f>
        <v/>
      </c>
      <c r="J20" s="22">
        <f>Perbandingan!$B$9+Perbandingan!$B$10*A20</f>
        <v/>
      </c>
      <c r="K20" s="22">
        <f>IF(J20="","",ABS(C20-J20))</f>
        <v/>
      </c>
      <c r="L20" s="22">
        <f>IF(K20="","",K20/C20)</f>
        <v/>
      </c>
    </row>
    <row r="21">
      <c r="A21" s="18">
        <f>Data!A21</f>
        <v/>
      </c>
      <c r="B21" s="22">
        <f>Data!B21</f>
        <v/>
      </c>
      <c r="C21" s="22">
        <f>Data!C21</f>
        <v/>
      </c>
      <c r="D21" s="22">
        <f>AVERAGE(C18:C20)</f>
        <v/>
      </c>
      <c r="E21" s="22">
        <f>IF(D21="","",ABS(C21-D21))</f>
        <v/>
      </c>
      <c r="F21" s="22">
        <f>IF(E21="","",E21/C21)</f>
        <v/>
      </c>
      <c r="G21" s="22">
        <f>README!$C$9*C20+(1-README!$C$9)*G20</f>
        <v/>
      </c>
      <c r="H21" s="22">
        <f>IF(G21="","",ABS(C21-G21))</f>
        <v/>
      </c>
      <c r="I21" s="22">
        <f>IF(H21="","",H21/C21)</f>
        <v/>
      </c>
      <c r="J21" s="22">
        <f>Perbandingan!$B$9+Perbandingan!$B$10*A21</f>
        <v/>
      </c>
      <c r="K21" s="22">
        <f>IF(J21="","",ABS(C21-J21))</f>
        <v/>
      </c>
      <c r="L21" s="22">
        <f>IF(K21="","",K21/C21)</f>
        <v/>
      </c>
    </row>
    <row r="22">
      <c r="A22" s="18">
        <f>Data!A22</f>
        <v/>
      </c>
      <c r="B22" s="22">
        <f>Data!B22</f>
        <v/>
      </c>
      <c r="C22" s="22">
        <f>Data!C22</f>
        <v/>
      </c>
      <c r="D22" s="22">
        <f>AVERAGE(C19:C21)</f>
        <v/>
      </c>
      <c r="E22" s="22">
        <f>IF(D22="","",ABS(C22-D22))</f>
        <v/>
      </c>
      <c r="F22" s="22">
        <f>IF(E22="","",E22/C22)</f>
        <v/>
      </c>
      <c r="G22" s="22">
        <f>README!$C$9*C21+(1-README!$C$9)*G21</f>
        <v/>
      </c>
      <c r="H22" s="22">
        <f>IF(G22="","",ABS(C22-G22))</f>
        <v/>
      </c>
      <c r="I22" s="22">
        <f>IF(H22="","",H22/C22)</f>
        <v/>
      </c>
      <c r="J22" s="22">
        <f>Perbandingan!$B$9+Perbandingan!$B$10*A22</f>
        <v/>
      </c>
      <c r="K22" s="22">
        <f>IF(J22="","",ABS(C22-J22))</f>
        <v/>
      </c>
      <c r="L22" s="22">
        <f>IF(K22="","",K22/C22)</f>
        <v/>
      </c>
    </row>
    <row r="23">
      <c r="A23" s="18">
        <f>Data!A23</f>
        <v/>
      </c>
      <c r="B23" s="22">
        <f>Data!B23</f>
        <v/>
      </c>
      <c r="C23" s="22">
        <f>Data!C23</f>
        <v/>
      </c>
      <c r="D23" s="22">
        <f>AVERAGE(C20:C22)</f>
        <v/>
      </c>
      <c r="E23" s="22">
        <f>IF(D23="","",ABS(C23-D23))</f>
        <v/>
      </c>
      <c r="F23" s="22">
        <f>IF(E23="","",E23/C23)</f>
        <v/>
      </c>
      <c r="G23" s="22">
        <f>README!$C$9*C22+(1-README!$C$9)*G22</f>
        <v/>
      </c>
      <c r="H23" s="22">
        <f>IF(G23="","",ABS(C23-G23))</f>
        <v/>
      </c>
      <c r="I23" s="22">
        <f>IF(H23="","",H23/C23)</f>
        <v/>
      </c>
      <c r="J23" s="22">
        <f>Perbandingan!$B$9+Perbandingan!$B$10*A23</f>
        <v/>
      </c>
      <c r="K23" s="22">
        <f>IF(J23="","",ABS(C23-J23))</f>
        <v/>
      </c>
      <c r="L23" s="22">
        <f>IF(K23="","",K23/C23)</f>
        <v/>
      </c>
    </row>
    <row r="24">
      <c r="A24" s="18">
        <f>Data!A24</f>
        <v/>
      </c>
      <c r="B24" s="22">
        <f>Data!B24</f>
        <v/>
      </c>
      <c r="C24" s="22">
        <f>Data!C24</f>
        <v/>
      </c>
      <c r="D24" s="22">
        <f>AVERAGE(C21:C23)</f>
        <v/>
      </c>
      <c r="E24" s="22">
        <f>IF(D24="","",ABS(C24-D24))</f>
        <v/>
      </c>
      <c r="F24" s="22">
        <f>IF(E24="","",E24/C24)</f>
        <v/>
      </c>
      <c r="G24" s="22">
        <f>README!$C$9*C23+(1-README!$C$9)*G23</f>
        <v/>
      </c>
      <c r="H24" s="22">
        <f>IF(G24="","",ABS(C24-G24))</f>
        <v/>
      </c>
      <c r="I24" s="22">
        <f>IF(H24="","",H24/C24)</f>
        <v/>
      </c>
      <c r="J24" s="22">
        <f>Perbandingan!$B$9+Perbandingan!$B$10*A24</f>
        <v/>
      </c>
      <c r="K24" s="22">
        <f>IF(J24="","",ABS(C24-J24))</f>
        <v/>
      </c>
      <c r="L24" s="22">
        <f>IF(K24="","",K24/C24)</f>
        <v/>
      </c>
    </row>
    <row r="25">
      <c r="A25" s="18">
        <f>Data!A25</f>
        <v/>
      </c>
      <c r="B25" s="22">
        <f>Data!B25</f>
        <v/>
      </c>
      <c r="C25" s="22">
        <f>Data!C25</f>
        <v/>
      </c>
      <c r="D25" s="22">
        <f>AVERAGE(C22:C24)</f>
        <v/>
      </c>
      <c r="E25" s="22">
        <f>IF(D25="","",ABS(C25-D25))</f>
        <v/>
      </c>
      <c r="F25" s="22">
        <f>IF(E25="","",E25/C25)</f>
        <v/>
      </c>
      <c r="G25" s="22">
        <f>README!$C$9*C24+(1-README!$C$9)*G24</f>
        <v/>
      </c>
      <c r="H25" s="22">
        <f>IF(G25="","",ABS(C25-G25))</f>
        <v/>
      </c>
      <c r="I25" s="22">
        <f>IF(H25="","",H25/C25)</f>
        <v/>
      </c>
      <c r="J25" s="22">
        <f>Perbandingan!$B$9+Perbandingan!$B$10*A25</f>
        <v/>
      </c>
      <c r="K25" s="22">
        <f>IF(J25="","",ABS(C25-J25))</f>
        <v/>
      </c>
      <c r="L25" s="22">
        <f>IF(K25="","",K25/C25)</f>
        <v/>
      </c>
    </row>
    <row r="26">
      <c r="A26" s="18">
        <f>Data!A26</f>
        <v/>
      </c>
      <c r="B26" s="22">
        <f>Data!B26</f>
        <v/>
      </c>
      <c r="C26" s="22">
        <f>Data!C26</f>
        <v/>
      </c>
      <c r="D26" s="22">
        <f>AVERAGE(C23:C25)</f>
        <v/>
      </c>
      <c r="E26" s="22">
        <f>IF(D26="","",ABS(C26-D26))</f>
        <v/>
      </c>
      <c r="F26" s="22">
        <f>IF(E26="","",E26/C26)</f>
        <v/>
      </c>
      <c r="G26" s="22">
        <f>README!$C$9*C25+(1-README!$C$9)*G25</f>
        <v/>
      </c>
      <c r="H26" s="22">
        <f>IF(G26="","",ABS(C26-G26))</f>
        <v/>
      </c>
      <c r="I26" s="22">
        <f>IF(H26="","",H26/C26)</f>
        <v/>
      </c>
      <c r="J26" s="22">
        <f>Perbandingan!$B$9+Perbandingan!$B$10*A26</f>
        <v/>
      </c>
      <c r="K26" s="22">
        <f>IF(J26="","",ABS(C26-J26))</f>
        <v/>
      </c>
      <c r="L26" s="22">
        <f>IF(K26="","",K26/C26)</f>
        <v/>
      </c>
    </row>
    <row r="27">
      <c r="A27" s="18">
        <f>Data!A27</f>
        <v/>
      </c>
      <c r="B27" s="22">
        <f>Data!B27</f>
        <v/>
      </c>
      <c r="C27" s="22">
        <f>Data!C27</f>
        <v/>
      </c>
      <c r="D27" s="22">
        <f>AVERAGE(C24:C26)</f>
        <v/>
      </c>
      <c r="E27" s="22">
        <f>IF(D27="","",ABS(C27-D27))</f>
        <v/>
      </c>
      <c r="F27" s="22">
        <f>IF(E27="","",E27/C27)</f>
        <v/>
      </c>
      <c r="G27" s="22">
        <f>README!$C$9*C26+(1-README!$C$9)*G26</f>
        <v/>
      </c>
      <c r="H27" s="22">
        <f>IF(G27="","",ABS(C27-G27))</f>
        <v/>
      </c>
      <c r="I27" s="22">
        <f>IF(H27="","",H27/C27)</f>
        <v/>
      </c>
      <c r="J27" s="22">
        <f>Perbandingan!$B$9+Perbandingan!$B$10*A27</f>
        <v/>
      </c>
      <c r="K27" s="22">
        <f>IF(J27="","",ABS(C27-J27))</f>
        <v/>
      </c>
      <c r="L27" s="22">
        <f>IF(K27="","",K27/C27)</f>
        <v/>
      </c>
    </row>
    <row r="28">
      <c r="A28" s="18">
        <f>Data!A28</f>
        <v/>
      </c>
      <c r="B28" s="22">
        <f>Data!B28</f>
        <v/>
      </c>
      <c r="C28" s="22">
        <f>Data!C28</f>
        <v/>
      </c>
      <c r="D28" s="22">
        <f>AVERAGE(C25:C27)</f>
        <v/>
      </c>
      <c r="E28" s="22">
        <f>IF(D28="","",ABS(C28-D28))</f>
        <v/>
      </c>
      <c r="F28" s="22">
        <f>IF(E28="","",E28/C28)</f>
        <v/>
      </c>
      <c r="G28" s="22">
        <f>README!$C$9*C27+(1-README!$C$9)*G27</f>
        <v/>
      </c>
      <c r="H28" s="22">
        <f>IF(G28="","",ABS(C28-G28))</f>
        <v/>
      </c>
      <c r="I28" s="22">
        <f>IF(H28="","",H28/C28)</f>
        <v/>
      </c>
      <c r="J28" s="22">
        <f>Perbandingan!$B$9+Perbandingan!$B$10*A28</f>
        <v/>
      </c>
      <c r="K28" s="22">
        <f>IF(J28="","",ABS(C28-J28))</f>
        <v/>
      </c>
      <c r="L28" s="22">
        <f>IF(K28="","",K28/C28)</f>
        <v/>
      </c>
    </row>
    <row r="29">
      <c r="A29" s="18">
        <f>Data!A29</f>
        <v/>
      </c>
      <c r="B29" s="22">
        <f>Data!B29</f>
        <v/>
      </c>
      <c r="C29" s="22">
        <f>Data!C29</f>
        <v/>
      </c>
      <c r="D29" s="22">
        <f>AVERAGE(C26:C28)</f>
        <v/>
      </c>
      <c r="E29" s="22">
        <f>IF(D29="","",ABS(C29-D29))</f>
        <v/>
      </c>
      <c r="F29" s="22">
        <f>IF(E29="","",E29/C29)</f>
        <v/>
      </c>
      <c r="G29" s="22">
        <f>README!$C$9*C28+(1-README!$C$9)*G28</f>
        <v/>
      </c>
      <c r="H29" s="22">
        <f>IF(G29="","",ABS(C29-G29))</f>
        <v/>
      </c>
      <c r="I29" s="22">
        <f>IF(H29="","",H29/C29)</f>
        <v/>
      </c>
      <c r="J29" s="22">
        <f>Perbandingan!$B$9+Perbandingan!$B$10*A29</f>
        <v/>
      </c>
      <c r="K29" s="22">
        <f>IF(J29="","",ABS(C29-J29))</f>
        <v/>
      </c>
      <c r="L29" s="22">
        <f>IF(K29="","",K29/C29)</f>
        <v/>
      </c>
    </row>
    <row r="30">
      <c r="A30" s="18">
        <f>Data!A30</f>
        <v/>
      </c>
      <c r="B30" s="22">
        <f>Data!B30</f>
        <v/>
      </c>
      <c r="C30" s="22">
        <f>Data!C30</f>
        <v/>
      </c>
      <c r="D30" s="22">
        <f>AVERAGE(C27:C29)</f>
        <v/>
      </c>
      <c r="E30" s="22">
        <f>IF(D30="","",ABS(C30-D30))</f>
        <v/>
      </c>
      <c r="F30" s="22">
        <f>IF(E30="","",E30/C30)</f>
        <v/>
      </c>
      <c r="G30" s="22">
        <f>README!$C$9*C29+(1-README!$C$9)*G29</f>
        <v/>
      </c>
      <c r="H30" s="22">
        <f>IF(G30="","",ABS(C30-G30))</f>
        <v/>
      </c>
      <c r="I30" s="22">
        <f>IF(H30="","",H30/C30)</f>
        <v/>
      </c>
      <c r="J30" s="22">
        <f>Perbandingan!$B$9+Perbandingan!$B$10*A30</f>
        <v/>
      </c>
      <c r="K30" s="22">
        <f>IF(J30="","",ABS(C30-J30))</f>
        <v/>
      </c>
      <c r="L30" s="22">
        <f>IF(K30="","",K30/C30)</f>
        <v/>
      </c>
    </row>
    <row r="31">
      <c r="A31" s="18">
        <f>Data!A31</f>
        <v/>
      </c>
      <c r="B31" s="22">
        <f>Data!B31</f>
        <v/>
      </c>
      <c r="C31" s="22">
        <f>Data!C31</f>
        <v/>
      </c>
      <c r="D31" s="22">
        <f>AVERAGE(C28:C30)</f>
        <v/>
      </c>
      <c r="E31" s="22">
        <f>IF(D31="","",ABS(C31-D31))</f>
        <v/>
      </c>
      <c r="F31" s="22">
        <f>IF(E31="","",E31/C31)</f>
        <v/>
      </c>
      <c r="G31" s="22">
        <f>README!$C$9*C30+(1-README!$C$9)*G30</f>
        <v/>
      </c>
      <c r="H31" s="22">
        <f>IF(G31="","",ABS(C31-G31))</f>
        <v/>
      </c>
      <c r="I31" s="22">
        <f>IF(H31="","",H31/C31)</f>
        <v/>
      </c>
      <c r="J31" s="22">
        <f>Perbandingan!$B$9+Perbandingan!$B$10*A31</f>
        <v/>
      </c>
      <c r="K31" s="22">
        <f>IF(J31="","",ABS(C31-J31))</f>
        <v/>
      </c>
      <c r="L31" s="22">
        <f>IF(K31="","",K31/C31)</f>
        <v/>
      </c>
    </row>
    <row r="32">
      <c r="A32" s="18">
        <f>Data!A32</f>
        <v/>
      </c>
      <c r="B32" s="22">
        <f>Data!B32</f>
        <v/>
      </c>
      <c r="C32" s="22">
        <f>Data!C32</f>
        <v/>
      </c>
      <c r="D32" s="22">
        <f>AVERAGE(C29:C31)</f>
        <v/>
      </c>
      <c r="E32" s="22">
        <f>IF(D32="","",ABS(C32-D32))</f>
        <v/>
      </c>
      <c r="F32" s="22">
        <f>IF(E32="","",E32/C32)</f>
        <v/>
      </c>
      <c r="G32" s="22">
        <f>README!$C$9*C31+(1-README!$C$9)*G31</f>
        <v/>
      </c>
      <c r="H32" s="22">
        <f>IF(G32="","",ABS(C32-G32))</f>
        <v/>
      </c>
      <c r="I32" s="22">
        <f>IF(H32="","",H32/C32)</f>
        <v/>
      </c>
      <c r="J32" s="22">
        <f>Perbandingan!$B$9+Perbandingan!$B$10*A32</f>
        <v/>
      </c>
      <c r="K32" s="22">
        <f>IF(J32="","",ABS(C32-J32))</f>
        <v/>
      </c>
      <c r="L32" s="22">
        <f>IF(K32="","",K32/C32)</f>
        <v/>
      </c>
    </row>
    <row r="33">
      <c r="A33" s="18">
        <f>Data!A33</f>
        <v/>
      </c>
      <c r="B33" s="22">
        <f>Data!B33</f>
        <v/>
      </c>
      <c r="C33" s="22">
        <f>Data!C33</f>
        <v/>
      </c>
      <c r="D33" s="22">
        <f>AVERAGE(C30:C32)</f>
        <v/>
      </c>
      <c r="E33" s="22">
        <f>IF(D33="","",ABS(C33-D33))</f>
        <v/>
      </c>
      <c r="F33" s="22">
        <f>IF(E33="","",E33/C33)</f>
        <v/>
      </c>
      <c r="G33" s="22">
        <f>README!$C$9*C32+(1-README!$C$9)*G32</f>
        <v/>
      </c>
      <c r="H33" s="22">
        <f>IF(G33="","",ABS(C33-G33))</f>
        <v/>
      </c>
      <c r="I33" s="22">
        <f>IF(H33="","",H33/C33)</f>
        <v/>
      </c>
      <c r="J33" s="22">
        <f>Perbandingan!$B$9+Perbandingan!$B$10*A33</f>
        <v/>
      </c>
      <c r="K33" s="22">
        <f>IF(J33="","",ABS(C33-J33))</f>
        <v/>
      </c>
      <c r="L33" s="22">
        <f>IF(K33="","",K33/C33)</f>
        <v/>
      </c>
    </row>
    <row r="34">
      <c r="A34" s="18">
        <f>Data!A34</f>
        <v/>
      </c>
      <c r="B34" s="22">
        <f>Data!B34</f>
        <v/>
      </c>
      <c r="C34" s="22">
        <f>Data!C34</f>
        <v/>
      </c>
      <c r="D34" s="22">
        <f>AVERAGE(C31:C33)</f>
        <v/>
      </c>
      <c r="E34" s="22">
        <f>IF(D34="","",ABS(C34-D34))</f>
        <v/>
      </c>
      <c r="F34" s="22">
        <f>IF(E34="","",E34/C34)</f>
        <v/>
      </c>
      <c r="G34" s="22">
        <f>README!$C$9*C33+(1-README!$C$9)*G33</f>
        <v/>
      </c>
      <c r="H34" s="22">
        <f>IF(G34="","",ABS(C34-G34))</f>
        <v/>
      </c>
      <c r="I34" s="22">
        <f>IF(H34="","",H34/C34)</f>
        <v/>
      </c>
      <c r="J34" s="22">
        <f>Perbandingan!$B$9+Perbandingan!$B$10*A34</f>
        <v/>
      </c>
      <c r="K34" s="22">
        <f>IF(J34="","",ABS(C34-J34))</f>
        <v/>
      </c>
      <c r="L34" s="22">
        <f>IF(K34="","",K34/C34)</f>
        <v/>
      </c>
    </row>
    <row r="35">
      <c r="A35" s="18">
        <f>Data!A35</f>
        <v/>
      </c>
      <c r="B35" s="22">
        <f>Data!B35</f>
        <v/>
      </c>
      <c r="C35" s="22">
        <f>Data!C35</f>
        <v/>
      </c>
      <c r="D35" s="22">
        <f>AVERAGE(C32:C34)</f>
        <v/>
      </c>
      <c r="E35" s="22">
        <f>IF(D35="","",ABS(C35-D35))</f>
        <v/>
      </c>
      <c r="F35" s="22">
        <f>IF(E35="","",E35/C35)</f>
        <v/>
      </c>
      <c r="G35" s="22">
        <f>README!$C$9*C34+(1-README!$C$9)*G34</f>
        <v/>
      </c>
      <c r="H35" s="22">
        <f>IF(G35="","",ABS(C35-G35))</f>
        <v/>
      </c>
      <c r="I35" s="22">
        <f>IF(H35="","",H35/C35)</f>
        <v/>
      </c>
      <c r="J35" s="22">
        <f>Perbandingan!$B$9+Perbandingan!$B$10*A35</f>
        <v/>
      </c>
      <c r="K35" s="22">
        <f>IF(J35="","",ABS(C35-J35))</f>
        <v/>
      </c>
      <c r="L35" s="22">
        <f>IF(K35="","",K35/C35)</f>
        <v/>
      </c>
    </row>
    <row r="36">
      <c r="A36" s="18">
        <f>Data!A36</f>
        <v/>
      </c>
      <c r="B36" s="22">
        <f>Data!B36</f>
        <v/>
      </c>
      <c r="C36" s="22">
        <f>Data!C36</f>
        <v/>
      </c>
      <c r="D36" s="22">
        <f>AVERAGE(C33:C35)</f>
        <v/>
      </c>
      <c r="E36" s="22">
        <f>IF(D36="","",ABS(C36-D36))</f>
        <v/>
      </c>
      <c r="F36" s="22">
        <f>IF(E36="","",E36/C36)</f>
        <v/>
      </c>
      <c r="G36" s="22">
        <f>README!$C$9*C35+(1-README!$C$9)*G35</f>
        <v/>
      </c>
      <c r="H36" s="22">
        <f>IF(G36="","",ABS(C36-G36))</f>
        <v/>
      </c>
      <c r="I36" s="22">
        <f>IF(H36="","",H36/C36)</f>
        <v/>
      </c>
      <c r="J36" s="22">
        <f>Perbandingan!$B$9+Perbandingan!$B$10*A36</f>
        <v/>
      </c>
      <c r="K36" s="22">
        <f>IF(J36="","",ABS(C36-J36))</f>
        <v/>
      </c>
      <c r="L36" s="22">
        <f>IF(K36="","",K36/C36)</f>
        <v/>
      </c>
    </row>
    <row r="37">
      <c r="A37" s="18">
        <f>Data!A37</f>
        <v/>
      </c>
      <c r="B37" s="22">
        <f>Data!B37</f>
        <v/>
      </c>
      <c r="C37" s="22">
        <f>Data!C37</f>
        <v/>
      </c>
      <c r="D37" s="22">
        <f>AVERAGE(C34:C36)</f>
        <v/>
      </c>
      <c r="E37" s="22">
        <f>IF(D37="","",ABS(C37-D37))</f>
        <v/>
      </c>
      <c r="F37" s="22">
        <f>IF(E37="","",E37/C37)</f>
        <v/>
      </c>
      <c r="G37" s="22">
        <f>README!$C$9*C36+(1-README!$C$9)*G36</f>
        <v/>
      </c>
      <c r="H37" s="22">
        <f>IF(G37="","",ABS(C37-G37))</f>
        <v/>
      </c>
      <c r="I37" s="22">
        <f>IF(H37="","",H37/C37)</f>
        <v/>
      </c>
      <c r="J37" s="22">
        <f>Perbandingan!$B$9+Perbandingan!$B$10*A37</f>
        <v/>
      </c>
      <c r="K37" s="22">
        <f>IF(J37="","",ABS(C37-J37))</f>
        <v/>
      </c>
      <c r="L37" s="22">
        <f>IF(K37="","",K37/C37)</f>
        <v/>
      </c>
    </row>
    <row r="38">
      <c r="A38" s="18">
        <f>Data!A38</f>
        <v/>
      </c>
      <c r="B38" s="22">
        <f>Data!B38</f>
        <v/>
      </c>
      <c r="C38" s="22">
        <f>Data!C38</f>
        <v/>
      </c>
      <c r="D38" s="22">
        <f>AVERAGE(C35:C37)</f>
        <v/>
      </c>
      <c r="E38" s="22">
        <f>IF(D38="","",ABS(C38-D38))</f>
        <v/>
      </c>
      <c r="F38" s="22">
        <f>IF(E38="","",E38/C38)</f>
        <v/>
      </c>
      <c r="G38" s="22">
        <f>README!$C$9*C37+(1-README!$C$9)*G37</f>
        <v/>
      </c>
      <c r="H38" s="22">
        <f>IF(G38="","",ABS(C38-G38))</f>
        <v/>
      </c>
      <c r="I38" s="22">
        <f>IF(H38="","",H38/C38)</f>
        <v/>
      </c>
      <c r="J38" s="22">
        <f>Perbandingan!$B$9+Perbandingan!$B$10*A38</f>
        <v/>
      </c>
      <c r="K38" s="22">
        <f>IF(J38="","",ABS(C38-J38))</f>
        <v/>
      </c>
      <c r="L38" s="22">
        <f>IF(K38="","",K38/C38)</f>
        <v/>
      </c>
    </row>
    <row r="39">
      <c r="A39" s="18">
        <f>Data!A39</f>
        <v/>
      </c>
      <c r="B39" s="22">
        <f>Data!B39</f>
        <v/>
      </c>
      <c r="C39" s="22">
        <f>Data!C39</f>
        <v/>
      </c>
      <c r="D39" s="22">
        <f>AVERAGE(C36:C38)</f>
        <v/>
      </c>
      <c r="E39" s="22">
        <f>IF(D39="","",ABS(C39-D39))</f>
        <v/>
      </c>
      <c r="F39" s="22">
        <f>IF(E39="","",E39/C39)</f>
        <v/>
      </c>
      <c r="G39" s="22">
        <f>README!$C$9*C38+(1-README!$C$9)*G38</f>
        <v/>
      </c>
      <c r="H39" s="22">
        <f>IF(G39="","",ABS(C39-G39))</f>
        <v/>
      </c>
      <c r="I39" s="22">
        <f>IF(H39="","",H39/C39)</f>
        <v/>
      </c>
      <c r="J39" s="22">
        <f>Perbandingan!$B$9+Perbandingan!$B$10*A39</f>
        <v/>
      </c>
      <c r="K39" s="22">
        <f>IF(J39="","",ABS(C39-J39))</f>
        <v/>
      </c>
      <c r="L39" s="22">
        <f>IF(K39="","",K39/C39)</f>
        <v/>
      </c>
    </row>
    <row r="40">
      <c r="A40" s="13" t="n">
        <v>37</v>
      </c>
      <c r="B40" s="13" t="inlineStr">
        <is>
          <t>Jan 2004</t>
        </is>
      </c>
      <c r="C40" s="23" t="inlineStr">
        <is>
          <t>belum terjadi</t>
        </is>
      </c>
      <c r="D40" s="15">
        <f>AVERAGE(C37:C39)</f>
        <v/>
      </c>
      <c r="E40" s="24" t="n"/>
      <c r="F40" s="24" t="n"/>
      <c r="G40" s="15">
        <f>README!$C$9*C39+(1-README!$C$9)*G39</f>
        <v/>
      </c>
      <c r="H40" s="24" t="n"/>
      <c r="I40" s="24" t="n"/>
      <c r="J40" s="15">
        <f>Perbandingan!$B$9+Perbandingan!$B$10*A40</f>
        <v/>
      </c>
      <c r="K40" s="24" t="n"/>
      <c r="L40" s="24"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7"/>
  <sheetViews>
    <sheetView workbookViewId="0">
      <selection activeCell="A1" sqref="A1"/>
    </sheetView>
  </sheetViews>
  <sheetFormatPr baseColWidth="8" defaultRowHeight="15"/>
  <cols>
    <col width="38" customWidth="1" min="1" max="1"/>
    <col width="20" customWidth="1" min="2" max="2"/>
    <col width="14" customWidth="1" min="3" max="3"/>
    <col width="32" customWidth="1" min="4" max="4"/>
  </cols>
  <sheetData>
    <row r="1">
      <c r="A1" s="1" t="inlineStr">
        <is>
          <t>PERBANDINGAN METODE — MAE &amp; MAPE (JENDLEA EVALUASI: PERIODE 4–36)</t>
        </is>
      </c>
    </row>
    <row r="2">
      <c r="A2" s="2" t="inlineStr">
        <is>
          <t>MAE = AVERAGE |D − F| (satuan unit). MAPE = AVERAGE |D − F| / D (persentase). Metode terbaik = MAPE terkecil.</t>
        </is>
      </c>
    </row>
    <row r="3">
      <c r="A3" s="17" t="inlineStr">
        <is>
          <t>Metode</t>
        </is>
      </c>
      <c r="B3" s="17" t="inlineStr">
        <is>
          <t>MAE (unit)</t>
        </is>
      </c>
      <c r="C3" s="17" t="inlineStr">
        <is>
          <t>MAPE</t>
        </is>
      </c>
      <c r="D3" s="17" t="inlineStr">
        <is>
          <t>Ramalan periode 37 (unit/bulan)</t>
        </is>
      </c>
    </row>
    <row r="4">
      <c r="A4" s="8" t="inlineStr">
        <is>
          <t>Moving Average 3 (MA3)</t>
        </is>
      </c>
      <c r="B4" s="22">
        <f>AVERAGE(Peramalan!E7:E39)</f>
        <v/>
      </c>
      <c r="C4" s="25">
        <f>AVERAGE(Peramalan!F7:F39)</f>
        <v/>
      </c>
      <c r="D4" s="22">
        <f>Peramalan!D40</f>
        <v/>
      </c>
    </row>
    <row r="5">
      <c r="A5" s="8" t="inlineStr">
        <is>
          <t>Exponential Smoothing (α = 0,3)</t>
        </is>
      </c>
      <c r="B5" s="22">
        <f>AVERAGE(Peramalan!H7:H39)</f>
        <v/>
      </c>
      <c r="C5" s="25">
        <f>AVERAGE(Peramalan!I7:I39)</f>
        <v/>
      </c>
      <c r="D5" s="22">
        <f>Peramalan!G40</f>
        <v/>
      </c>
    </row>
    <row r="6">
      <c r="A6" s="8" t="inlineStr">
        <is>
          <t>Regresi Linear</t>
        </is>
      </c>
      <c r="B6" s="22">
        <f>AVERAGE(Peramalan!K7:K39)</f>
        <v/>
      </c>
      <c r="C6" s="25">
        <f>AVERAGE(Peramalan!L7:L39)</f>
        <v/>
      </c>
      <c r="D6" s="22">
        <f>Peramalan!J40</f>
        <v/>
      </c>
    </row>
    <row r="8">
      <c r="A8" s="3" t="inlineStr">
        <is>
          <t>Koefisien regresi (dari sheet Data)</t>
        </is>
      </c>
    </row>
    <row r="9">
      <c r="A9" t="inlineStr">
        <is>
          <t>a (intersep)</t>
        </is>
      </c>
      <c r="B9" s="26">
        <f>INTERCEPT(Data!C4:C39,Data!A4:A39)</f>
        <v/>
      </c>
    </row>
    <row r="10">
      <c r="A10" t="inlineStr">
        <is>
          <t>b (slope, unit/bulan)</t>
        </is>
      </c>
      <c r="B10" s="26">
        <f>SLOPE(Data!C4:C39,Data!A4:A39)</f>
        <v/>
      </c>
    </row>
    <row r="11">
      <c r="A11" t="inlineStr">
        <is>
          <t>Persamaan tren: Ŷ = a + bX</t>
        </is>
      </c>
      <c r="B11">
        <f>"Ŷ = "&amp;TEXT(B9,"0.00")&amp;" + "&amp;TEXT(B10,"0.00")&amp;"X"</f>
        <v/>
      </c>
    </row>
    <row r="12">
      <c r="A12" t="inlineStr">
        <is>
          <t>Metode terbaik (MAPE terkecil)</t>
        </is>
      </c>
      <c r="B12" s="13">
        <f>INDEX(A4:A6,MATCH(MIN(C4:C6),C4:C6,0))</f>
        <v/>
      </c>
    </row>
    <row r="13">
      <c r="A13" t="inlineStr">
        <is>
          <t>Ramalan periode 37 metode terbaik (unit/bulan)</t>
        </is>
      </c>
      <c r="B13" s="15">
        <f>INDEX(D4:D6,MATCH(MIN(C4:C6),C4:C6,0))</f>
        <v/>
      </c>
    </row>
    <row r="14">
      <c r="A14" t="inlineStr">
        <is>
          <t>MAE metode terbaik (unit)</t>
        </is>
      </c>
      <c r="B14" s="27">
        <f>MIN(B4:B6)</f>
        <v/>
      </c>
    </row>
    <row r="15">
      <c r="A15" t="inlineStr">
        <is>
          <t>MAPE metode terbaik</t>
        </is>
      </c>
      <c r="B15" s="28">
        <f>MIN(C4:C6)</f>
        <v/>
      </c>
    </row>
    <row r="17" ht="45" customHeight="1">
      <c r="A17" s="4" t="inlineStr">
        <is>
          <t>Interpretasi: ketiga metode dibandingkan pada 33 periode yang sama. Regresi linear menang karena data memiliki tren naik yang jelas (slope positif): MA3 dan ES tertinggal dari tren, sedangkan regresi mengikutinya.</t>
        </is>
      </c>
    </row>
  </sheetData>
  <mergeCells count="1">
    <mergeCell ref="A17:D17"/>
  </mergeCells>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E27"/>
  <sheetViews>
    <sheetView workbookViewId="0">
      <selection activeCell="A1" sqref="A1"/>
    </sheetView>
  </sheetViews>
  <sheetFormatPr baseColWidth="8" defaultRowHeight="15"/>
  <cols>
    <col width="52" customWidth="1" min="1" max="1"/>
    <col width="20" customWidth="1" min="3" max="3"/>
    <col width="16" customWidth="1" min="5" max="5"/>
  </cols>
  <sheetData>
    <row r="1">
      <c r="A1" s="1" t="inlineStr">
        <is>
          <t>KEBUTUHAN PERSEDIAAN — EOQ, SAFETY STOCK, ROP (DARI RAMALAN METODE TERBAIK)</t>
        </is>
      </c>
    </row>
    <row r="2">
      <c r="A2" s="2" t="inlineStr">
        <is>
          <t>Rumus dasar: EOQ = SQRT(2·D·S/H); Safety stock = Z·σ·SQRT(L); ROP = d·L + safety stock.</t>
        </is>
      </c>
    </row>
    <row r="4">
      <c r="A4" s="3" t="inlineStr">
        <is>
          <t>INPUT (terhubung otomatis — jangan ketik manual)</t>
        </is>
      </c>
    </row>
    <row r="5">
      <c r="A5" s="5" t="inlineStr">
        <is>
          <t>Ramalan permintaan bulanan, metode terbaik (unit/bulan)</t>
        </is>
      </c>
      <c r="C5" s="22">
        <f>Perbandingan!B13</f>
        <v/>
      </c>
    </row>
    <row r="6">
      <c r="A6" s="5" t="inlineStr">
        <is>
          <t>Permintaan tahunan D (unit/tahun) = bulanan × 12</t>
        </is>
      </c>
      <c r="C6" s="22">
        <f>C5*12</f>
        <v/>
      </c>
    </row>
    <row r="7">
      <c r="A7" s="5" t="inlineStr">
        <is>
          <t>Simpangan baku permintaan bulanan σ (unit)</t>
        </is>
      </c>
      <c r="C7" s="22">
        <f>Data!C41</f>
        <v/>
      </c>
    </row>
    <row r="8">
      <c r="A8" s="5" t="inlineStr">
        <is>
          <t>Biaya pesan S (Rp/pesanan)</t>
        </is>
      </c>
      <c r="C8" s="29">
        <f>README!C12</f>
        <v/>
      </c>
    </row>
    <row r="9">
      <c r="A9" s="5" t="inlineStr">
        <is>
          <t>Biaya simpan H (Rp/unit/tahun)</t>
        </is>
      </c>
      <c r="C9" s="29">
        <f>README!C14</f>
        <v/>
      </c>
    </row>
    <row r="10">
      <c r="A10" s="5" t="inlineStr">
        <is>
          <t>Lead time L (hari)</t>
        </is>
      </c>
      <c r="C10" s="18">
        <f>README!C15</f>
        <v/>
      </c>
    </row>
    <row r="11">
      <c r="A11" s="5" t="inlineStr">
        <is>
          <t>Lead time (bulan) = hari / 30</t>
        </is>
      </c>
      <c r="C11" s="12">
        <f>C10/README!C18</f>
        <v/>
      </c>
    </row>
    <row r="12">
      <c r="A12" s="5" t="inlineStr">
        <is>
          <t>Z (tingkat layanan 95%)</t>
        </is>
      </c>
      <c r="C12" s="12">
        <f>README!C17</f>
        <v/>
      </c>
    </row>
    <row r="13">
      <c r="A13" s="5" t="inlineStr">
        <is>
          <t>Permintaan harian d (unit/hari) = bulanan / 30</t>
        </is>
      </c>
      <c r="C13" s="22">
        <f>C5/README!C18</f>
        <v/>
      </c>
    </row>
    <row r="15">
      <c r="A15" s="3" t="inlineStr">
        <is>
          <t>HASIL</t>
        </is>
      </c>
    </row>
    <row r="16">
      <c r="A16" s="17" t="inlineStr">
        <is>
          <t>Ukuran</t>
        </is>
      </c>
      <c r="B16" s="17" t="inlineStr"/>
      <c r="C16" s="17" t="inlineStr">
        <is>
          <t>Nilai hitung</t>
        </is>
      </c>
      <c r="D16" s="17" t="inlineStr"/>
      <c r="E16" s="17" t="inlineStr">
        <is>
          <t>Dibulatkan (unit)</t>
        </is>
      </c>
    </row>
    <row r="17">
      <c r="A17" s="30" t="inlineStr">
        <is>
          <t>EOQ — jumlah pesanan optimal</t>
        </is>
      </c>
      <c r="C17" s="22">
        <f>SQRT(2*C6*C8/C9)</f>
        <v/>
      </c>
      <c r="E17" s="16">
        <f>ROUNDUP(C17,0)</f>
        <v/>
      </c>
    </row>
    <row r="18">
      <c r="A18" s="30" t="inlineStr">
        <is>
          <t>Safety stock — stok aman</t>
        </is>
      </c>
      <c r="C18" s="22">
        <f>C12*C7*SQRT(C11)</f>
        <v/>
      </c>
      <c r="E18" s="16">
        <f>ROUNDUP(C18,0)</f>
        <v/>
      </c>
    </row>
    <row r="19">
      <c r="A19" s="30" t="inlineStr">
        <is>
          <t>Reorder point (ROP) — titik pesan kembali</t>
        </is>
      </c>
      <c r="C19" s="22">
        <f>C13*C10+C18</f>
        <v/>
      </c>
      <c r="E19" s="16">
        <f>ROUNDUP(C19,0)</f>
        <v/>
      </c>
    </row>
    <row r="20">
      <c r="A20" s="30" t="inlineStr">
        <is>
          <t>Frekuensi pemesanan (kali/tahun)</t>
        </is>
      </c>
      <c r="C20" s="22">
        <f>C6/C17</f>
        <v/>
      </c>
      <c r="E20" s="8" t="n"/>
    </row>
    <row r="21">
      <c r="A21" s="30" t="inlineStr">
        <is>
          <t>Jarak antar pesanan (hari)</t>
        </is>
      </c>
      <c r="C21" s="22">
        <f>365/C20</f>
        <v/>
      </c>
      <c r="E21" s="8" t="n"/>
    </row>
    <row r="22">
      <c r="A22" s="30" t="inlineStr">
        <is>
          <t>Total biaya persediaan per tahun (Rp)</t>
        </is>
      </c>
      <c r="C22" s="29">
        <f>(C6/C17)*C8+(C17/2)*C9</f>
        <v/>
      </c>
      <c r="E22" s="8" t="n"/>
    </row>
    <row r="24">
      <c r="A24" s="3" t="inlineStr">
        <is>
          <t>INTERPRETASI (kalimat otomatis — ikut berubah bila asumsi diubah)</t>
        </is>
      </c>
    </row>
    <row r="25">
      <c r="A25" s="31">
        <f>"Pesan "&amp;TEXT(E17,"0")&amp;" unit setiap kali memesan (EOQ), sekitar "&amp;TEXT(C20,"0.0")&amp;" kali setahun."</f>
        <v/>
      </c>
    </row>
    <row r="26">
      <c r="A26" s="31">
        <f>"Sediakan stok aman "&amp;TEXT(E18,"0")&amp;" unit agar peluang kehabisan stok hanya 5% selama lead time."</f>
        <v/>
      </c>
    </row>
    <row r="27">
      <c r="A27" s="31">
        <f>"Segera pesan kembali saat stok turun ke "&amp;TEXT(E19,"0")&amp;" unit (ROP)."</f>
        <v/>
      </c>
    </row>
  </sheetData>
  <mergeCells count="3">
    <mergeCell ref="A25:E25"/>
    <mergeCell ref="A27:E27"/>
    <mergeCell ref="A26:E26"/>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2026-10-26T03:53:22+00:00Z</dcterms:created>
  <dcterms:modified xmlns:dcterms="http://purl.org/dc/terms/" xmlns:xsi="http://www.w3.org/2001/XMLSchema-instance" xsi:type="dcterms:W3CDTF">2026-10-26T03:53:22+00:00Z</dcterms:modified>
</cp:coreProperties>
</file>